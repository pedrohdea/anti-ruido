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étricas" sheetId="2" state="visible" r:id="rId2"/>
    <sheet name="Pontos de Vir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9" fontId="0" fillId="3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Nota</author>
  </authors>
  <commentList>
    <comment ref="E7" authorId="0" shapeId="0">
      <text>
        <t>Fórmula simples pedida: Perdidos ÷ Ativos do mesmo mês. Fica um pouco otimista, porque Ativos já é o saldo líquido pós-perda. Para uma leitura mais rigorosa, compare com Dados!D / Dados!E do mês anterior (churn sobre a base inicial do período).</t>
      </text>
    </comment>
    <comment ref="K7" authorId="0" shapeId="0">
      <text>
        <t>K-Factor = Clientes por Indicação ÷ Usuários Ativos (equivalente a (Convites por usuário) × (Taxa de conversão do convite) = (L/K)×(M/L) = M/K).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5" customWidth="1" min="4" max="4"/>
    <col width="14" customWidth="1" min="5" max="5"/>
    <col width="13" customWidth="1" min="6" max="6"/>
    <col width="13" customWidth="1" min="7" max="7"/>
    <col width="11" customWidth="1" min="8" max="8"/>
    <col width="11" customWidth="1" min="9" max="9"/>
    <col width="13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Mês</t>
        </is>
      </c>
      <c r="B1" s="1" t="inlineStr">
        <is>
          <t>Leads</t>
        </is>
      </c>
      <c r="C1" s="1" t="inlineStr">
        <is>
          <t>Novos Clientes</t>
        </is>
      </c>
      <c r="D1" s="1" t="inlineStr">
        <is>
          <t>Clientes Perdidos</t>
        </is>
      </c>
      <c r="E1" s="1" t="inlineStr">
        <is>
          <t>Clientes Ativos</t>
        </is>
      </c>
      <c r="F1" s="1" t="inlineStr">
        <is>
          <t>Receita (MRR)</t>
        </is>
      </c>
      <c r="G1" s="1" t="inlineStr">
        <is>
          <t>Marketing (R$)</t>
        </is>
      </c>
      <c r="H1" s="1" t="inlineStr">
        <is>
          <t>Ticket Médio</t>
        </is>
      </c>
      <c r="I1" s="1" t="inlineStr">
        <is>
          <t>Burn Rate</t>
        </is>
      </c>
      <c r="J1" s="1" t="inlineStr">
        <is>
          <t>Caixa</t>
        </is>
      </c>
      <c r="K1" s="1" t="inlineStr">
        <is>
          <t>Usuários Ativos</t>
        </is>
      </c>
      <c r="L1" s="1" t="inlineStr">
        <is>
          <t>Convites</t>
        </is>
      </c>
      <c r="M1" s="1" t="inlineStr">
        <is>
          <t>Clientes por Indicação</t>
        </is>
      </c>
    </row>
    <row r="2">
      <c r="A2" s="2" t="inlineStr">
        <is>
          <t>Mês 1</t>
        </is>
      </c>
      <c r="B2" s="2" t="n">
        <v>185</v>
      </c>
      <c r="C2" s="2" t="n">
        <v>11</v>
      </c>
      <c r="D2" s="2" t="n">
        <v>3</v>
      </c>
      <c r="E2" s="2">
        <f>50+C2-D2</f>
        <v/>
      </c>
      <c r="F2" s="3">
        <f>E2*H2</f>
        <v/>
      </c>
      <c r="G2" s="3" t="n">
        <v>3100</v>
      </c>
      <c r="H2" s="3" t="n">
        <v>150</v>
      </c>
      <c r="I2" s="3" t="n">
        <v>15000</v>
      </c>
      <c r="J2" s="3">
        <f>250000-I2</f>
        <v/>
      </c>
      <c r="K2" s="2" t="n">
        <v>250</v>
      </c>
      <c r="L2" s="2" t="n">
        <v>40</v>
      </c>
      <c r="M2" s="2" t="n">
        <v>1</v>
      </c>
    </row>
    <row r="3">
      <c r="A3" s="2" t="inlineStr">
        <is>
          <t>Mês 2</t>
        </is>
      </c>
      <c r="B3" s="2" t="n">
        <v>190</v>
      </c>
      <c r="C3" s="2" t="n">
        <v>11</v>
      </c>
      <c r="D3" s="2" t="n">
        <v>4</v>
      </c>
      <c r="E3" s="2">
        <f>E2+C3-D3</f>
        <v/>
      </c>
      <c r="F3" s="3">
        <f>E3*H3</f>
        <v/>
      </c>
      <c r="G3" s="3" t="n">
        <v>3000</v>
      </c>
      <c r="H3" s="3" t="n">
        <v>151</v>
      </c>
      <c r="I3" s="3" t="n">
        <v>15300</v>
      </c>
      <c r="J3" s="3">
        <f>J2-I3</f>
        <v/>
      </c>
      <c r="K3" s="2" t="n">
        <v>290</v>
      </c>
      <c r="L3" s="2" t="n">
        <v>48</v>
      </c>
      <c r="M3" s="2" t="n">
        <v>1</v>
      </c>
    </row>
    <row r="4">
      <c r="A4" s="2" t="inlineStr">
        <is>
          <t>Mês 3</t>
        </is>
      </c>
      <c r="B4" s="2" t="n">
        <v>200</v>
      </c>
      <c r="C4" s="2" t="n">
        <v>12</v>
      </c>
      <c r="D4" s="2" t="n">
        <v>5</v>
      </c>
      <c r="E4" s="2">
        <f>E3+C4-D4</f>
        <v/>
      </c>
      <c r="F4" s="3">
        <f>E4*H4</f>
        <v/>
      </c>
      <c r="G4" s="3" t="n">
        <v>3100</v>
      </c>
      <c r="H4" s="3" t="n">
        <v>152</v>
      </c>
      <c r="I4" s="3" t="n">
        <v>15500</v>
      </c>
      <c r="J4" s="3">
        <f>J3-I4</f>
        <v/>
      </c>
      <c r="K4" s="2" t="n">
        <v>330</v>
      </c>
      <c r="L4" s="2" t="n">
        <v>55</v>
      </c>
      <c r="M4" s="2" t="n">
        <v>2</v>
      </c>
    </row>
    <row r="5">
      <c r="A5" s="2" t="inlineStr">
        <is>
          <t>Mês 4</t>
        </is>
      </c>
      <c r="B5" s="2" t="n">
        <v>200</v>
      </c>
      <c r="C5" s="2" t="n">
        <v>10</v>
      </c>
      <c r="D5" s="2" t="n">
        <v>4</v>
      </c>
      <c r="E5" s="2">
        <f>E4+C5-D5</f>
        <v/>
      </c>
      <c r="F5" s="3">
        <f>E5*H5</f>
        <v/>
      </c>
      <c r="G5" s="3" t="n">
        <v>2600</v>
      </c>
      <c r="H5" s="3" t="n">
        <v>153</v>
      </c>
      <c r="I5" s="3" t="n">
        <v>15200</v>
      </c>
      <c r="J5" s="3">
        <f>J4-I5</f>
        <v/>
      </c>
      <c r="K5" s="2" t="n">
        <v>380</v>
      </c>
      <c r="L5" s="2" t="n">
        <v>65</v>
      </c>
      <c r="M5" s="2" t="n">
        <v>2</v>
      </c>
    </row>
    <row r="6">
      <c r="A6" s="2" t="inlineStr">
        <is>
          <t>Mês 5</t>
        </is>
      </c>
      <c r="B6" s="2" t="n">
        <v>260</v>
      </c>
      <c r="C6" s="2" t="n">
        <v>18</v>
      </c>
      <c r="D6" s="2" t="n">
        <v>4</v>
      </c>
      <c r="E6" s="2">
        <f>E5+C6-D6</f>
        <v/>
      </c>
      <c r="F6" s="3">
        <f>E6*H6</f>
        <v/>
      </c>
      <c r="G6" s="3" t="n">
        <v>4000</v>
      </c>
      <c r="H6" s="3" t="n">
        <v>155</v>
      </c>
      <c r="I6" s="3" t="n">
        <v>14500</v>
      </c>
      <c r="J6" s="3">
        <f>J5-I6</f>
        <v/>
      </c>
      <c r="K6" s="2" t="n">
        <v>460</v>
      </c>
      <c r="L6" s="2" t="n">
        <v>90</v>
      </c>
      <c r="M6" s="2" t="n">
        <v>3</v>
      </c>
    </row>
    <row r="7">
      <c r="A7" s="2" t="inlineStr">
        <is>
          <t>Mês 6</t>
        </is>
      </c>
      <c r="B7" s="2" t="n">
        <v>330</v>
      </c>
      <c r="C7" s="2" t="n">
        <v>24</v>
      </c>
      <c r="D7" s="2" t="n">
        <v>4</v>
      </c>
      <c r="E7" s="2">
        <f>E6+C7-D7</f>
        <v/>
      </c>
      <c r="F7" s="3">
        <f>E7*H7</f>
        <v/>
      </c>
      <c r="G7" s="3" t="n">
        <v>4600</v>
      </c>
      <c r="H7" s="3" t="n">
        <v>157</v>
      </c>
      <c r="I7" s="3" t="n">
        <v>13500</v>
      </c>
      <c r="J7" s="3">
        <f>J6-I7</f>
        <v/>
      </c>
      <c r="K7" s="2" t="n">
        <v>570</v>
      </c>
      <c r="L7" s="2" t="n">
        <v>120</v>
      </c>
      <c r="M7" s="2" t="n">
        <v>5</v>
      </c>
    </row>
    <row r="8">
      <c r="A8" s="2" t="inlineStr">
        <is>
          <t>Mês 7</t>
        </is>
      </c>
      <c r="B8" s="2" t="n">
        <v>430</v>
      </c>
      <c r="C8" s="2" t="n">
        <v>33</v>
      </c>
      <c r="D8" s="2" t="n">
        <v>4</v>
      </c>
      <c r="E8" s="2">
        <f>E7+C8-D8</f>
        <v/>
      </c>
      <c r="F8" s="3">
        <f>E8*H8</f>
        <v/>
      </c>
      <c r="G8" s="3" t="n">
        <v>5400</v>
      </c>
      <c r="H8" s="3" t="n">
        <v>159</v>
      </c>
      <c r="I8" s="3" t="n">
        <v>12000</v>
      </c>
      <c r="J8" s="3">
        <f>J7-I8</f>
        <v/>
      </c>
      <c r="K8" s="2" t="n">
        <v>700</v>
      </c>
      <c r="L8" s="2" t="n">
        <v>160</v>
      </c>
      <c r="M8" s="2" t="n">
        <v>8</v>
      </c>
    </row>
    <row r="9">
      <c r="A9" s="2" t="inlineStr">
        <is>
          <t>Mês 8</t>
        </is>
      </c>
      <c r="B9" s="2" t="n">
        <v>580</v>
      </c>
      <c r="C9" s="2" t="n">
        <v>46</v>
      </c>
      <c r="D9" s="2" t="n">
        <v>5</v>
      </c>
      <c r="E9" s="2">
        <f>E8+C9-D9</f>
        <v/>
      </c>
      <c r="F9" s="3">
        <f>E9*H9</f>
        <v/>
      </c>
      <c r="G9" s="3" t="n">
        <v>6400</v>
      </c>
      <c r="H9" s="3" t="n">
        <v>161</v>
      </c>
      <c r="I9" s="3" t="n">
        <v>10000</v>
      </c>
      <c r="J9" s="3">
        <f>J8-I9</f>
        <v/>
      </c>
      <c r="K9" s="2" t="n">
        <v>860</v>
      </c>
      <c r="L9" s="2" t="n">
        <v>210</v>
      </c>
      <c r="M9" s="2" t="n">
        <v>13</v>
      </c>
    </row>
    <row r="10">
      <c r="A10" s="2" t="inlineStr">
        <is>
          <t>Mês 9</t>
        </is>
      </c>
      <c r="B10" s="2" t="n">
        <v>710</v>
      </c>
      <c r="C10" s="2" t="n">
        <v>60</v>
      </c>
      <c r="D10" s="2" t="n">
        <v>5</v>
      </c>
      <c r="E10" s="2">
        <f>E9+C10-D10</f>
        <v/>
      </c>
      <c r="F10" s="3">
        <f>E10*H10</f>
        <v/>
      </c>
      <c r="G10" s="3" t="n">
        <v>6900</v>
      </c>
      <c r="H10" s="3" t="n">
        <v>163</v>
      </c>
      <c r="I10" s="3" t="n">
        <v>8000</v>
      </c>
      <c r="J10" s="3">
        <f>J9-I10</f>
        <v/>
      </c>
      <c r="K10" s="2" t="n">
        <v>1060</v>
      </c>
      <c r="L10" s="2" t="n">
        <v>270</v>
      </c>
      <c r="M10" s="2" t="n">
        <v>19</v>
      </c>
    </row>
    <row r="11">
      <c r="A11" s="2" t="inlineStr">
        <is>
          <t>Mês 10</t>
        </is>
      </c>
      <c r="B11" s="2" t="n">
        <v>820</v>
      </c>
      <c r="C11" s="2" t="n">
        <v>69</v>
      </c>
      <c r="D11" s="2" t="n">
        <v>5</v>
      </c>
      <c r="E11" s="2">
        <f>E10+C11-D11</f>
        <v/>
      </c>
      <c r="F11" s="3">
        <f>E11*H11</f>
        <v/>
      </c>
      <c r="G11" s="3" t="n">
        <v>6600</v>
      </c>
      <c r="H11" s="3" t="n">
        <v>165</v>
      </c>
      <c r="I11" s="3" t="n">
        <v>6000</v>
      </c>
      <c r="J11" s="3">
        <f>J10-I11</f>
        <v/>
      </c>
      <c r="K11" s="2" t="n">
        <v>1300</v>
      </c>
      <c r="L11" s="2" t="n">
        <v>340</v>
      </c>
      <c r="M11" s="2" t="n">
        <v>26</v>
      </c>
    </row>
    <row r="12">
      <c r="A12" s="2" t="inlineStr">
        <is>
          <t>Mês 11</t>
        </is>
      </c>
      <c r="B12" s="2" t="n">
        <v>910</v>
      </c>
      <c r="C12" s="2" t="n">
        <v>77</v>
      </c>
      <c r="D12" s="2" t="n">
        <v>5</v>
      </c>
      <c r="E12" s="2">
        <f>E11+C12-D12</f>
        <v/>
      </c>
      <c r="F12" s="3">
        <f>E12*H12</f>
        <v/>
      </c>
      <c r="G12" s="3" t="n">
        <v>6000</v>
      </c>
      <c r="H12" s="3" t="n">
        <v>168</v>
      </c>
      <c r="I12" s="3" t="n">
        <v>4000</v>
      </c>
      <c r="J12" s="3">
        <f>J11-I12</f>
        <v/>
      </c>
      <c r="K12" s="2" t="n">
        <v>1580</v>
      </c>
      <c r="L12" s="2" t="n">
        <v>420</v>
      </c>
      <c r="M12" s="2" t="n">
        <v>34</v>
      </c>
    </row>
    <row r="13">
      <c r="A13" s="2" t="inlineStr">
        <is>
          <t>Mês 12</t>
        </is>
      </c>
      <c r="B13" s="2" t="n">
        <v>1000</v>
      </c>
      <c r="C13" s="2" t="n">
        <v>80</v>
      </c>
      <c r="D13" s="2" t="n">
        <v>5</v>
      </c>
      <c r="E13" s="2">
        <f>E12+C13-D13</f>
        <v/>
      </c>
      <c r="F13" s="3">
        <f>E13*H13</f>
        <v/>
      </c>
      <c r="G13" s="3" t="n">
        <v>5200</v>
      </c>
      <c r="H13" s="3" t="n">
        <v>170</v>
      </c>
      <c r="I13" s="3" t="n">
        <v>2000</v>
      </c>
      <c r="J13" s="3">
        <f>J12-I13</f>
        <v/>
      </c>
      <c r="K13" s="2" t="n">
        <v>1900</v>
      </c>
      <c r="L13" s="2" t="n">
        <v>500</v>
      </c>
      <c r="M13" s="2" t="n">
        <v>40</v>
      </c>
    </row>
    <row r="15">
      <c r="A15" s="4" t="inlineStr">
        <is>
          <t>Caixa inicial (antes do Mês 1): R$ 250,000 · Clientes ativos iniciais: 50</t>
        </is>
      </c>
    </row>
    <row r="16">
      <c r="A16" s="4" t="inlineStr">
        <is>
          <t>Preencha Leads, Novos/Perdidos Clientes, Marketing, Ticket Médio, Burn Rate, Usuários Ativos, Convites e Indicações — Clientes Ativos, Receita e Caixa se recalculam sozinhos.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4" customWidth="1" min="4" max="4"/>
    <col width="9" customWidth="1" min="5" max="5"/>
    <col width="10" customWidth="1" min="6" max="6"/>
    <col width="9" customWidth="1" min="7" max="7"/>
    <col width="9" customWidth="1" min="8" max="8"/>
    <col width="12" customWidth="1" min="9" max="9"/>
    <col width="14" customWidth="1" min="10" max="10"/>
    <col width="9" customWidth="1" min="11" max="11"/>
    <col width="14" customWidth="1" min="12" max="12"/>
    <col width="11" customWidth="1" min="13" max="13"/>
  </cols>
  <sheetData>
    <row r="1">
      <c r="A1" s="5" t="inlineStr">
        <is>
          <t>Parâmetros</t>
        </is>
      </c>
    </row>
    <row r="2">
      <c r="A2" t="inlineStr">
        <is>
          <t>Tamanho do mercado (clientes potenciais)</t>
        </is>
      </c>
      <c r="B2" s="6" t="n">
        <v>10000</v>
      </c>
    </row>
    <row r="3">
      <c r="A3" t="inlineStr">
        <is>
          <t>Limiar de % indicação p/ Tipping Point</t>
        </is>
      </c>
      <c r="B3" s="7" t="n">
        <v>0.3</v>
      </c>
    </row>
    <row r="4">
      <c r="A4" t="inlineStr">
        <is>
          <t>Limiar de LTV/CAC saudável (referência de mercado)</t>
        </is>
      </c>
      <c r="B4" s="6" t="n">
        <v>3</v>
      </c>
    </row>
    <row r="6">
      <c r="A6" s="1" t="inlineStr">
        <is>
          <t>Mês</t>
        </is>
      </c>
      <c r="B6" s="1" t="inlineStr">
        <is>
          <t>CAC</t>
        </is>
      </c>
      <c r="C6" s="1" t="inlineStr">
        <is>
          <t>Crescimento Receita (MoM)</t>
        </is>
      </c>
      <c r="D6" s="1" t="inlineStr">
        <is>
          <t>Conversão (Lead→Cliente)</t>
        </is>
      </c>
      <c r="E6" s="1" t="inlineStr">
        <is>
          <t>Churn</t>
        </is>
      </c>
      <c r="F6" s="1" t="inlineStr">
        <is>
          <t>Retenção</t>
        </is>
      </c>
      <c r="G6" s="1" t="inlineStr">
        <is>
          <t>LTV</t>
        </is>
      </c>
      <c r="H6" s="1" t="inlineStr">
        <is>
          <t>LTV/CAC</t>
        </is>
      </c>
      <c r="I6" s="1" t="inlineStr">
        <is>
          <t>Runway (meses)</t>
        </is>
      </c>
      <c r="J6" s="1" t="inlineStr">
        <is>
          <t>Crescimento de Usuários</t>
        </is>
      </c>
      <c r="K6" s="1" t="inlineStr">
        <is>
          <t>K-Factor</t>
        </is>
      </c>
      <c r="L6" s="1" t="inlineStr">
        <is>
          <t>Receita por Cliente</t>
        </is>
      </c>
      <c r="M6" s="1" t="inlineStr">
        <is>
          <t>Market Share</t>
        </is>
      </c>
    </row>
    <row r="7">
      <c r="A7" s="2">
        <f>Dados!A2</f>
        <v/>
      </c>
      <c r="B7" s="3">
        <f>Dados!G2/Dados!C2</f>
        <v/>
      </c>
      <c r="C7" s="8" t="inlineStr"/>
      <c r="D7" s="8">
        <f>Dados!C2/Dados!B2</f>
        <v/>
      </c>
      <c r="E7" s="8">
        <f>Dados!D2/Dados!E2</f>
        <v/>
      </c>
      <c r="F7" s="8">
        <f>1-E7</f>
        <v/>
      </c>
      <c r="G7" s="3">
        <f>Dados!H2*(1/E7)</f>
        <v/>
      </c>
      <c r="H7" s="9">
        <f>G7/B7</f>
        <v/>
      </c>
      <c r="I7" s="10">
        <f>Dados!J2/Dados!I2</f>
        <v/>
      </c>
      <c r="J7" s="8" t="inlineStr"/>
      <c r="K7" s="2">
        <f>Dados!M2/Dados!K2</f>
        <v/>
      </c>
      <c r="L7" s="3">
        <f>Dados!F2/Dados!E2</f>
        <v/>
      </c>
      <c r="M7" s="8">
        <f>Dados!E2/$B$2</f>
        <v/>
      </c>
    </row>
    <row r="8">
      <c r="A8" s="2">
        <f>Dados!A3</f>
        <v/>
      </c>
      <c r="B8" s="3">
        <f>Dados!G3/Dados!C3</f>
        <v/>
      </c>
      <c r="C8" s="8">
        <f>(Dados!F3-Dados!F2)/Dados!F2</f>
        <v/>
      </c>
      <c r="D8" s="8">
        <f>Dados!C3/Dados!B3</f>
        <v/>
      </c>
      <c r="E8" s="8">
        <f>Dados!D3/Dados!E3</f>
        <v/>
      </c>
      <c r="F8" s="8">
        <f>1-E8</f>
        <v/>
      </c>
      <c r="G8" s="3">
        <f>Dados!H3*(1/E8)</f>
        <v/>
      </c>
      <c r="H8" s="9">
        <f>G8/B8</f>
        <v/>
      </c>
      <c r="I8" s="10">
        <f>Dados!J3/Dados!I3</f>
        <v/>
      </c>
      <c r="J8" s="8">
        <f>(Dados!K3-Dados!K2)/Dados!K2</f>
        <v/>
      </c>
      <c r="K8" s="2">
        <f>Dados!M3/Dados!K3</f>
        <v/>
      </c>
      <c r="L8" s="3">
        <f>Dados!F3/Dados!E3</f>
        <v/>
      </c>
      <c r="M8" s="8">
        <f>Dados!E3/$B$2</f>
        <v/>
      </c>
    </row>
    <row r="9">
      <c r="A9" s="2">
        <f>Dados!A4</f>
        <v/>
      </c>
      <c r="B9" s="3">
        <f>Dados!G4/Dados!C4</f>
        <v/>
      </c>
      <c r="C9" s="8">
        <f>(Dados!F4-Dados!F3)/Dados!F3</f>
        <v/>
      </c>
      <c r="D9" s="8">
        <f>Dados!C4/Dados!B4</f>
        <v/>
      </c>
      <c r="E9" s="8">
        <f>Dados!D4/Dados!E4</f>
        <v/>
      </c>
      <c r="F9" s="8">
        <f>1-E9</f>
        <v/>
      </c>
      <c r="G9" s="3">
        <f>Dados!H4*(1/E9)</f>
        <v/>
      </c>
      <c r="H9" s="9">
        <f>G9/B9</f>
        <v/>
      </c>
      <c r="I9" s="10">
        <f>Dados!J4/Dados!I4</f>
        <v/>
      </c>
      <c r="J9" s="8">
        <f>(Dados!K4-Dados!K3)/Dados!K3</f>
        <v/>
      </c>
      <c r="K9" s="2">
        <f>Dados!M4/Dados!K4</f>
        <v/>
      </c>
      <c r="L9" s="3">
        <f>Dados!F4/Dados!E4</f>
        <v/>
      </c>
      <c r="M9" s="8">
        <f>Dados!E4/$B$2</f>
        <v/>
      </c>
    </row>
    <row r="10">
      <c r="A10" s="2">
        <f>Dados!A5</f>
        <v/>
      </c>
      <c r="B10" s="3">
        <f>Dados!G5/Dados!C5</f>
        <v/>
      </c>
      <c r="C10" s="8">
        <f>(Dados!F5-Dados!F4)/Dados!F4</f>
        <v/>
      </c>
      <c r="D10" s="8">
        <f>Dados!C5/Dados!B5</f>
        <v/>
      </c>
      <c r="E10" s="8">
        <f>Dados!D5/Dados!E5</f>
        <v/>
      </c>
      <c r="F10" s="8">
        <f>1-E10</f>
        <v/>
      </c>
      <c r="G10" s="3">
        <f>Dados!H5*(1/E10)</f>
        <v/>
      </c>
      <c r="H10" s="9">
        <f>G10/B10</f>
        <v/>
      </c>
      <c r="I10" s="10">
        <f>Dados!J5/Dados!I5</f>
        <v/>
      </c>
      <c r="J10" s="8">
        <f>(Dados!K5-Dados!K4)/Dados!K4</f>
        <v/>
      </c>
      <c r="K10" s="2">
        <f>Dados!M5/Dados!K5</f>
        <v/>
      </c>
      <c r="L10" s="3">
        <f>Dados!F5/Dados!E5</f>
        <v/>
      </c>
      <c r="M10" s="8">
        <f>Dados!E5/$B$2</f>
        <v/>
      </c>
    </row>
    <row r="11">
      <c r="A11" s="2">
        <f>Dados!A6</f>
        <v/>
      </c>
      <c r="B11" s="3">
        <f>Dados!G6/Dados!C6</f>
        <v/>
      </c>
      <c r="C11" s="8">
        <f>(Dados!F6-Dados!F5)/Dados!F5</f>
        <v/>
      </c>
      <c r="D11" s="8">
        <f>Dados!C6/Dados!B6</f>
        <v/>
      </c>
      <c r="E11" s="8">
        <f>Dados!D6/Dados!E6</f>
        <v/>
      </c>
      <c r="F11" s="8">
        <f>1-E11</f>
        <v/>
      </c>
      <c r="G11" s="3">
        <f>Dados!H6*(1/E11)</f>
        <v/>
      </c>
      <c r="H11" s="9">
        <f>G11/B11</f>
        <v/>
      </c>
      <c r="I11" s="10">
        <f>Dados!J6/Dados!I6</f>
        <v/>
      </c>
      <c r="J11" s="8">
        <f>(Dados!K6-Dados!K5)/Dados!K5</f>
        <v/>
      </c>
      <c r="K11" s="2">
        <f>Dados!M6/Dados!K6</f>
        <v/>
      </c>
      <c r="L11" s="3">
        <f>Dados!F6/Dados!E6</f>
        <v/>
      </c>
      <c r="M11" s="8">
        <f>Dados!E6/$B$2</f>
        <v/>
      </c>
    </row>
    <row r="12">
      <c r="A12" s="2">
        <f>Dados!A7</f>
        <v/>
      </c>
      <c r="B12" s="3">
        <f>Dados!G7/Dados!C7</f>
        <v/>
      </c>
      <c r="C12" s="8">
        <f>(Dados!F7-Dados!F6)/Dados!F6</f>
        <v/>
      </c>
      <c r="D12" s="8">
        <f>Dados!C7/Dados!B7</f>
        <v/>
      </c>
      <c r="E12" s="8">
        <f>Dados!D7/Dados!E7</f>
        <v/>
      </c>
      <c r="F12" s="8">
        <f>1-E12</f>
        <v/>
      </c>
      <c r="G12" s="3">
        <f>Dados!H7*(1/E12)</f>
        <v/>
      </c>
      <c r="H12" s="9">
        <f>G12/B12</f>
        <v/>
      </c>
      <c r="I12" s="10">
        <f>Dados!J7/Dados!I7</f>
        <v/>
      </c>
      <c r="J12" s="8">
        <f>(Dados!K7-Dados!K6)/Dados!K6</f>
        <v/>
      </c>
      <c r="K12" s="2">
        <f>Dados!M7/Dados!K7</f>
        <v/>
      </c>
      <c r="L12" s="3">
        <f>Dados!F7/Dados!E7</f>
        <v/>
      </c>
      <c r="M12" s="8">
        <f>Dados!E7/$B$2</f>
        <v/>
      </c>
    </row>
    <row r="13">
      <c r="A13" s="2">
        <f>Dados!A8</f>
        <v/>
      </c>
      <c r="B13" s="3">
        <f>Dados!G8/Dados!C8</f>
        <v/>
      </c>
      <c r="C13" s="8">
        <f>(Dados!F8-Dados!F7)/Dados!F7</f>
        <v/>
      </c>
      <c r="D13" s="8">
        <f>Dados!C8/Dados!B8</f>
        <v/>
      </c>
      <c r="E13" s="8">
        <f>Dados!D8/Dados!E8</f>
        <v/>
      </c>
      <c r="F13" s="8">
        <f>1-E13</f>
        <v/>
      </c>
      <c r="G13" s="3">
        <f>Dados!H8*(1/E13)</f>
        <v/>
      </c>
      <c r="H13" s="9">
        <f>G13/B13</f>
        <v/>
      </c>
      <c r="I13" s="10">
        <f>Dados!J8/Dados!I8</f>
        <v/>
      </c>
      <c r="J13" s="8">
        <f>(Dados!K8-Dados!K7)/Dados!K7</f>
        <v/>
      </c>
      <c r="K13" s="2">
        <f>Dados!M8/Dados!K8</f>
        <v/>
      </c>
      <c r="L13" s="3">
        <f>Dados!F8/Dados!E8</f>
        <v/>
      </c>
      <c r="M13" s="8">
        <f>Dados!E8/$B$2</f>
        <v/>
      </c>
    </row>
    <row r="14">
      <c r="A14" s="2">
        <f>Dados!A9</f>
        <v/>
      </c>
      <c r="B14" s="3">
        <f>Dados!G9/Dados!C9</f>
        <v/>
      </c>
      <c r="C14" s="8">
        <f>(Dados!F9-Dados!F8)/Dados!F8</f>
        <v/>
      </c>
      <c r="D14" s="8">
        <f>Dados!C9/Dados!B9</f>
        <v/>
      </c>
      <c r="E14" s="8">
        <f>Dados!D9/Dados!E9</f>
        <v/>
      </c>
      <c r="F14" s="8">
        <f>1-E14</f>
        <v/>
      </c>
      <c r="G14" s="3">
        <f>Dados!H9*(1/E14)</f>
        <v/>
      </c>
      <c r="H14" s="9">
        <f>G14/B14</f>
        <v/>
      </c>
      <c r="I14" s="10">
        <f>Dados!J9/Dados!I9</f>
        <v/>
      </c>
      <c r="J14" s="8">
        <f>(Dados!K9-Dados!K8)/Dados!K8</f>
        <v/>
      </c>
      <c r="K14" s="2">
        <f>Dados!M9/Dados!K9</f>
        <v/>
      </c>
      <c r="L14" s="3">
        <f>Dados!F9/Dados!E9</f>
        <v/>
      </c>
      <c r="M14" s="8">
        <f>Dados!E9/$B$2</f>
        <v/>
      </c>
    </row>
    <row r="15">
      <c r="A15" s="2">
        <f>Dados!A10</f>
        <v/>
      </c>
      <c r="B15" s="3">
        <f>Dados!G10/Dados!C10</f>
        <v/>
      </c>
      <c r="C15" s="8">
        <f>(Dados!F10-Dados!F9)/Dados!F9</f>
        <v/>
      </c>
      <c r="D15" s="8">
        <f>Dados!C10/Dados!B10</f>
        <v/>
      </c>
      <c r="E15" s="8">
        <f>Dados!D10/Dados!E10</f>
        <v/>
      </c>
      <c r="F15" s="8">
        <f>1-E15</f>
        <v/>
      </c>
      <c r="G15" s="3">
        <f>Dados!H10*(1/E15)</f>
        <v/>
      </c>
      <c r="H15" s="9">
        <f>G15/B15</f>
        <v/>
      </c>
      <c r="I15" s="10">
        <f>Dados!J10/Dados!I10</f>
        <v/>
      </c>
      <c r="J15" s="8">
        <f>(Dados!K10-Dados!K9)/Dados!K9</f>
        <v/>
      </c>
      <c r="K15" s="2">
        <f>Dados!M10/Dados!K10</f>
        <v/>
      </c>
      <c r="L15" s="3">
        <f>Dados!F10/Dados!E10</f>
        <v/>
      </c>
      <c r="M15" s="8">
        <f>Dados!E10/$B$2</f>
        <v/>
      </c>
    </row>
    <row r="16">
      <c r="A16" s="2">
        <f>Dados!A11</f>
        <v/>
      </c>
      <c r="B16" s="3">
        <f>Dados!G11/Dados!C11</f>
        <v/>
      </c>
      <c r="C16" s="8">
        <f>(Dados!F11-Dados!F10)/Dados!F10</f>
        <v/>
      </c>
      <c r="D16" s="8">
        <f>Dados!C11/Dados!B11</f>
        <v/>
      </c>
      <c r="E16" s="8">
        <f>Dados!D11/Dados!E11</f>
        <v/>
      </c>
      <c r="F16" s="8">
        <f>1-E16</f>
        <v/>
      </c>
      <c r="G16" s="3">
        <f>Dados!H11*(1/E16)</f>
        <v/>
      </c>
      <c r="H16" s="9">
        <f>G16/B16</f>
        <v/>
      </c>
      <c r="I16" s="10">
        <f>Dados!J11/Dados!I11</f>
        <v/>
      </c>
      <c r="J16" s="8">
        <f>(Dados!K11-Dados!K10)/Dados!K10</f>
        <v/>
      </c>
      <c r="K16" s="2">
        <f>Dados!M11/Dados!K11</f>
        <v/>
      </c>
      <c r="L16" s="3">
        <f>Dados!F11/Dados!E11</f>
        <v/>
      </c>
      <c r="M16" s="8">
        <f>Dados!E11/$B$2</f>
        <v/>
      </c>
    </row>
    <row r="17">
      <c r="A17" s="2">
        <f>Dados!A12</f>
        <v/>
      </c>
      <c r="B17" s="3">
        <f>Dados!G12/Dados!C12</f>
        <v/>
      </c>
      <c r="C17" s="8">
        <f>(Dados!F12-Dados!F11)/Dados!F11</f>
        <v/>
      </c>
      <c r="D17" s="8">
        <f>Dados!C12/Dados!B12</f>
        <v/>
      </c>
      <c r="E17" s="8">
        <f>Dados!D12/Dados!E12</f>
        <v/>
      </c>
      <c r="F17" s="8">
        <f>1-E17</f>
        <v/>
      </c>
      <c r="G17" s="3">
        <f>Dados!H12*(1/E17)</f>
        <v/>
      </c>
      <c r="H17" s="9">
        <f>G17/B17</f>
        <v/>
      </c>
      <c r="I17" s="10">
        <f>Dados!J12/Dados!I12</f>
        <v/>
      </c>
      <c r="J17" s="8">
        <f>(Dados!K12-Dados!K11)/Dados!K11</f>
        <v/>
      </c>
      <c r="K17" s="2">
        <f>Dados!M12/Dados!K12</f>
        <v/>
      </c>
      <c r="L17" s="3">
        <f>Dados!F12/Dados!E12</f>
        <v/>
      </c>
      <c r="M17" s="8">
        <f>Dados!E12/$B$2</f>
        <v/>
      </c>
    </row>
    <row r="18">
      <c r="A18" s="2">
        <f>Dados!A13</f>
        <v/>
      </c>
      <c r="B18" s="3">
        <f>Dados!G13/Dados!C13</f>
        <v/>
      </c>
      <c r="C18" s="8">
        <f>(Dados!F13-Dados!F12)/Dados!F12</f>
        <v/>
      </c>
      <c r="D18" s="8">
        <f>Dados!C13/Dados!B13</f>
        <v/>
      </c>
      <c r="E18" s="8">
        <f>Dados!D13/Dados!E13</f>
        <v/>
      </c>
      <c r="F18" s="8">
        <f>1-E18</f>
        <v/>
      </c>
      <c r="G18" s="3">
        <f>Dados!H13*(1/E18)</f>
        <v/>
      </c>
      <c r="H18" s="9">
        <f>G18/B18</f>
        <v/>
      </c>
      <c r="I18" s="10">
        <f>Dados!J13/Dados!I13</f>
        <v/>
      </c>
      <c r="J18" s="8">
        <f>(Dados!K13-Dados!K12)/Dados!K12</f>
        <v/>
      </c>
      <c r="K18" s="2">
        <f>Dados!M13/Dados!K13</f>
        <v/>
      </c>
      <c r="L18" s="3">
        <f>Dados!F13/Dados!E13</f>
        <v/>
      </c>
      <c r="M18" s="8">
        <f>Dados!E13/$B$2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2" customWidth="1" min="4" max="4"/>
    <col width="26" customWidth="1" min="5" max="5"/>
    <col width="30" customWidth="1" min="6" max="6"/>
    <col width="28" customWidth="1" min="7" max="7"/>
    <col width="32" customWidth="1" min="8" max="8"/>
  </cols>
  <sheetData>
    <row r="1">
      <c r="A1" s="4" t="inlineStr">
        <is>
          <t>Estes 5 conceitos não são métricas novas — são leituras (padrões) em cima das métricas já calculadas na aba "Métricas".</t>
        </is>
      </c>
    </row>
    <row r="2">
      <c r="A2" s="4" t="inlineStr">
        <is>
          <t>A tabela abaixo sinaliza automaticamente candidatos a Inflection Point, Tipping Point e Turning Point,</t>
        </is>
      </c>
    </row>
    <row r="3">
      <c r="A3" s="4" t="inlineStr">
        <is>
          <t>e traz um checklist manual para Milestones e uma coluna livre para registrar o Catalisador de cada mudança.</t>
        </is>
      </c>
    </row>
    <row r="5">
      <c r="A5" s="1" t="inlineStr">
        <is>
          <t>Mês</t>
        </is>
      </c>
      <c r="B5" s="1" t="inlineStr">
        <is>
          <t>Crescimento Receita</t>
        </is>
      </c>
      <c r="C5" s="1" t="inlineStr">
        <is>
          <t>Aceleração do Crescimento
(Δ crescimento)</t>
        </is>
      </c>
      <c r="D5" s="1" t="inlineStr">
        <is>
          <t>Sinal: Inflection Point</t>
        </is>
      </c>
      <c r="E5" s="1" t="inlineStr">
        <is>
          <t>% Novos Clientes por Indicação</t>
        </is>
      </c>
      <c r="F5" s="1" t="inlineStr">
        <is>
          <t>Sinal: Tipping Point</t>
        </is>
      </c>
      <c r="G5" s="1" t="inlineStr">
        <is>
          <t>Sinal: Turning Point (churn)</t>
        </is>
      </c>
      <c r="H5" s="1" t="inlineStr">
        <is>
          <t>Catalisador (evento do mês)</t>
        </is>
      </c>
    </row>
    <row r="6">
      <c r="A6" s="2">
        <f>Dados!A2</f>
        <v/>
      </c>
      <c r="B6" s="8">
        <f>Métricas!C7</f>
        <v/>
      </c>
      <c r="C6" s="8" t="inlineStr"/>
      <c r="D6" s="2" t="inlineStr"/>
      <c r="E6" s="8">
        <f>Dados!M2/Dados!C2</f>
        <v/>
      </c>
      <c r="F6" s="2">
        <f>IF(E6&gt;=Métricas!$B$3,"🔥 Tipping Point (indicação vira canal dominante)","")</f>
        <v/>
      </c>
      <c r="G6" s="2" t="inlineStr"/>
      <c r="H6" s="2" t="inlineStr"/>
    </row>
    <row r="7">
      <c r="A7" s="2">
        <f>Dados!A3</f>
        <v/>
      </c>
      <c r="B7" s="8">
        <f>Métricas!C8</f>
        <v/>
      </c>
      <c r="C7" s="8" t="inlineStr"/>
      <c r="D7" s="2" t="inlineStr"/>
      <c r="E7" s="8">
        <f>Dados!M3/Dados!C3</f>
        <v/>
      </c>
      <c r="F7" s="2">
        <f>IF(E7&gt;=Métricas!$B$3,"🔥 Tipping Point (indicação vira canal dominante)","")</f>
        <v/>
      </c>
      <c r="G7" s="2" t="inlineStr"/>
      <c r="H7" s="2" t="inlineStr"/>
    </row>
    <row r="8">
      <c r="A8" s="2">
        <f>Dados!A4</f>
        <v/>
      </c>
      <c r="B8" s="8">
        <f>Métricas!C9</f>
        <v/>
      </c>
      <c r="C8" s="8">
        <f>Métricas!C9-Métricas!C8</f>
        <v/>
      </c>
      <c r="D8" s="2">
        <f>IF(AND(C8&gt;0,C7&lt;=0),"⬆ Possível Inflection Point","")</f>
        <v/>
      </c>
      <c r="E8" s="8">
        <f>Dados!M4/Dados!C4</f>
        <v/>
      </c>
      <c r="F8" s="2">
        <f>IF(E8&gt;=Métricas!$B$3,"🔥 Tipping Point (indicação vira canal dominante)","")</f>
        <v/>
      </c>
      <c r="G8" s="2">
        <f>IF(AND(Métricas!E9&lt;Métricas!E8,Métricas!E8&gt;Métricas!E7),"↩ Turning Point (churn começou a cair)","")</f>
        <v/>
      </c>
      <c r="H8" s="2" t="inlineStr"/>
    </row>
    <row r="9">
      <c r="A9" s="2">
        <f>Dados!A5</f>
        <v/>
      </c>
      <c r="B9" s="8">
        <f>Métricas!C10</f>
        <v/>
      </c>
      <c r="C9" s="8">
        <f>Métricas!C10-Métricas!C9</f>
        <v/>
      </c>
      <c r="D9" s="2">
        <f>IF(AND(C9&gt;0,C8&lt;=0),"⬆ Possível Inflection Point","")</f>
        <v/>
      </c>
      <c r="E9" s="8">
        <f>Dados!M5/Dados!C5</f>
        <v/>
      </c>
      <c r="F9" s="2">
        <f>IF(E9&gt;=Métricas!$B$3,"🔥 Tipping Point (indicação vira canal dominante)","")</f>
        <v/>
      </c>
      <c r="G9" s="2">
        <f>IF(AND(Métricas!E10&lt;Métricas!E9,Métricas!E9&gt;Métricas!E8),"↩ Turning Point (churn começou a cair)","")</f>
        <v/>
      </c>
      <c r="H9" s="2" t="inlineStr">
        <is>
          <t>Melhoria no onboarding/suporte (reduz cancelamentos) → catalisador do Turning Point ao lado</t>
        </is>
      </c>
    </row>
    <row r="10">
      <c r="A10" s="2">
        <f>Dados!A6</f>
        <v/>
      </c>
      <c r="B10" s="8">
        <f>Métricas!C11</f>
        <v/>
      </c>
      <c r="C10" s="8">
        <f>Métricas!C11-Métricas!C10</f>
        <v/>
      </c>
      <c r="D10" s="2">
        <f>IF(AND(C10&gt;0,C9&lt;=0),"⬆ Possível Inflection Point","")</f>
        <v/>
      </c>
      <c r="E10" s="8">
        <f>Dados!M6/Dados!C6</f>
        <v/>
      </c>
      <c r="F10" s="2">
        <f>IF(E10&gt;=Métricas!$B$3,"🔥 Tipping Point (indicação vira canal dominante)","")</f>
        <v/>
      </c>
      <c r="G10" s="2">
        <f>IF(AND(Métricas!E11&lt;Métricas!E10,Métricas!E10&gt;Métricas!E9),"↩ Turning Point (churn começou a cair)","")</f>
        <v/>
      </c>
      <c r="H10" s="2" t="inlineStr">
        <is>
          <t>Início de campanha em redes sociais/mídia paga → catalisador do Inflection Point ao lado</t>
        </is>
      </c>
    </row>
    <row r="11">
      <c r="A11" s="2">
        <f>Dados!A7</f>
        <v/>
      </c>
      <c r="B11" s="8">
        <f>Métricas!C12</f>
        <v/>
      </c>
      <c r="C11" s="8">
        <f>Métricas!C12-Métricas!C11</f>
        <v/>
      </c>
      <c r="D11" s="2">
        <f>IF(AND(C11&gt;0,C10&lt;=0),"⬆ Possível Inflection Point","")</f>
        <v/>
      </c>
      <c r="E11" s="8">
        <f>Dados!M7/Dados!C7</f>
        <v/>
      </c>
      <c r="F11" s="2">
        <f>IF(E11&gt;=Métricas!$B$3,"🔥 Tipping Point (indicação vira canal dominante)","")</f>
        <v/>
      </c>
      <c r="G11" s="2">
        <f>IF(AND(Métricas!E12&lt;Métricas!E11,Métricas!E11&gt;Métricas!E10),"↩ Turning Point (churn começou a cair)","")</f>
        <v/>
      </c>
      <c r="H11" s="2" t="inlineStr">
        <is>
          <t>Parceria com evento/casa noturna</t>
        </is>
      </c>
    </row>
    <row r="12">
      <c r="A12" s="2">
        <f>Dados!A8</f>
        <v/>
      </c>
      <c r="B12" s="8">
        <f>Métricas!C13</f>
        <v/>
      </c>
      <c r="C12" s="8">
        <f>Métricas!C13-Métricas!C12</f>
        <v/>
      </c>
      <c r="D12" s="2">
        <f>IF(AND(C12&gt;0,C11&lt;=0),"⬆ Possível Inflection Point","")</f>
        <v/>
      </c>
      <c r="E12" s="8">
        <f>Dados!M8/Dados!C8</f>
        <v/>
      </c>
      <c r="F12" s="2">
        <f>IF(E12&gt;=Métricas!$B$3,"🔥 Tipping Point (indicação vira canal dominante)","")</f>
        <v/>
      </c>
      <c r="G12" s="2">
        <f>IF(AND(Métricas!E13&lt;Métricas!E12,Métricas!E12&gt;Métricas!E11),"↩ Turning Point (churn começou a cair)","")</f>
        <v/>
      </c>
      <c r="H12" s="2" t="inlineStr"/>
    </row>
    <row r="13">
      <c r="A13" s="2">
        <f>Dados!A9</f>
        <v/>
      </c>
      <c r="B13" s="8">
        <f>Métricas!C14</f>
        <v/>
      </c>
      <c r="C13" s="8">
        <f>Métricas!C14-Métricas!C13</f>
        <v/>
      </c>
      <c r="D13" s="2">
        <f>IF(AND(C13&gt;0,C12&lt;=0),"⬆ Possível Inflection Point","")</f>
        <v/>
      </c>
      <c r="E13" s="8">
        <f>Dados!M9/Dados!C9</f>
        <v/>
      </c>
      <c r="F13" s="2">
        <f>IF(E13&gt;=Métricas!$B$3,"🔥 Tipping Point (indicação vira canal dominante)","")</f>
        <v/>
      </c>
      <c r="G13" s="2">
        <f>IF(AND(Métricas!E14&lt;Métricas!E13,Métricas!E13&gt;Métricas!E12),"↩ Turning Point (churn começou a cair)","")</f>
        <v/>
      </c>
      <c r="H13" s="2" t="inlineStr">
        <is>
          <t>Lançamento do programa de indicação (referral)</t>
        </is>
      </c>
    </row>
    <row r="14">
      <c r="A14" s="2">
        <f>Dados!A10</f>
        <v/>
      </c>
      <c r="B14" s="8">
        <f>Métricas!C15</f>
        <v/>
      </c>
      <c r="C14" s="8">
        <f>Métricas!C15-Métricas!C14</f>
        <v/>
      </c>
      <c r="D14" s="2">
        <f>IF(AND(C14&gt;0,C13&lt;=0),"⬆ Possível Inflection Point","")</f>
        <v/>
      </c>
      <c r="E14" s="8">
        <f>Dados!M10/Dados!C10</f>
        <v/>
      </c>
      <c r="F14" s="2">
        <f>IF(E14&gt;=Métricas!$B$3,"🔥 Tipping Point (indicação vira canal dominante)","")</f>
        <v/>
      </c>
      <c r="G14" s="2">
        <f>IF(AND(Métricas!E15&lt;Métricas!E14,Métricas!E14&gt;Métricas!E13),"↩ Turning Point (churn começou a cair)","")</f>
        <v/>
      </c>
      <c r="H14" s="2" t="inlineStr">
        <is>
          <t>Matéria em imprensa especializada → reforça o Tipping Point ao lado</t>
        </is>
      </c>
    </row>
    <row r="15">
      <c r="A15" s="2">
        <f>Dados!A11</f>
        <v/>
      </c>
      <c r="B15" s="8">
        <f>Métricas!C16</f>
        <v/>
      </c>
      <c r="C15" s="8">
        <f>Métricas!C16-Métricas!C15</f>
        <v/>
      </c>
      <c r="D15" s="2">
        <f>IF(AND(C15&gt;0,C14&lt;=0),"⬆ Possível Inflection Point","")</f>
        <v/>
      </c>
      <c r="E15" s="8">
        <f>Dados!M11/Dados!C11</f>
        <v/>
      </c>
      <c r="F15" s="2">
        <f>IF(E15&gt;=Métricas!$B$3,"🔥 Tipping Point (indicação vira canal dominante)","")</f>
        <v/>
      </c>
      <c r="G15" s="2">
        <f>IF(AND(Métricas!E16&lt;Métricas!E15,Métricas!E15&gt;Métricas!E14),"↩ Turning Point (churn começou a cair)","")</f>
        <v/>
      </c>
      <c r="H15" s="2" t="inlineStr"/>
    </row>
    <row r="16">
      <c r="A16" s="2">
        <f>Dados!A12</f>
        <v/>
      </c>
      <c r="B16" s="8">
        <f>Métricas!C17</f>
        <v/>
      </c>
      <c r="C16" s="8">
        <f>Métricas!C17-Métricas!C16</f>
        <v/>
      </c>
      <c r="D16" s="2">
        <f>IF(AND(C16&gt;0,C15&lt;=0),"⬆ Possível Inflection Point","")</f>
        <v/>
      </c>
      <c r="E16" s="8">
        <f>Dados!M12/Dados!C12</f>
        <v/>
      </c>
      <c r="F16" s="2">
        <f>IF(E16&gt;=Métricas!$B$3,"🔥 Tipping Point (indicação vira canal dominante)","")</f>
        <v/>
      </c>
      <c r="G16" s="2">
        <f>IF(AND(Métricas!E17&lt;Métricas!E16,Métricas!E16&gt;Métricas!E15),"↩ Turning Point (churn começou a cair)","")</f>
        <v/>
      </c>
      <c r="H16" s="2" t="inlineStr"/>
    </row>
    <row r="17">
      <c r="A17" s="2">
        <f>Dados!A13</f>
        <v/>
      </c>
      <c r="B17" s="8">
        <f>Métricas!C18</f>
        <v/>
      </c>
      <c r="C17" s="8">
        <f>Métricas!C18-Métricas!C17</f>
        <v/>
      </c>
      <c r="D17" s="2">
        <f>IF(AND(C17&gt;0,C16&lt;=0),"⬆ Possível Inflection Point","")</f>
        <v/>
      </c>
      <c r="E17" s="8">
        <f>Dados!M13/Dados!C13</f>
        <v/>
      </c>
      <c r="F17" s="2">
        <f>IF(E17&gt;=Métricas!$B$3,"🔥 Tipping Point (indicação vira canal dominante)","")</f>
        <v/>
      </c>
      <c r="G17" s="2">
        <f>IF(AND(Métricas!E18&lt;Métricas!E17,Métricas!E17&gt;Métricas!E16),"↩ Turning Point (churn começou a cair)","")</f>
        <v/>
      </c>
      <c r="H17" s="2" t="inlineStr">
        <is>
          <t>Ajuste de preço/upsell no ticket médio</t>
        </is>
      </c>
    </row>
    <row r="20">
      <c r="A20" s="5" t="inlineStr">
        <is>
          <t>Milestones</t>
        </is>
      </c>
    </row>
    <row r="21">
      <c r="A21" s="1" t="inlineStr">
        <is>
          <t>Milestone</t>
        </is>
      </c>
      <c r="B21" s="1" t="inlineStr">
        <is>
          <t>Métrica-alvo</t>
        </is>
      </c>
      <c r="C21" s="1" t="inlineStr">
        <is>
          <t>Valor-alvo</t>
        </is>
      </c>
      <c r="D21" s="1" t="inlineStr">
        <is>
          <t>Mês em que foi atingido</t>
        </is>
      </c>
    </row>
    <row r="22">
      <c r="A22" s="2" t="inlineStr">
        <is>
          <t>Primeiros 100 clientes ativos</t>
        </is>
      </c>
      <c r="B22" s="2" t="inlineStr">
        <is>
          <t>Clientes Ativos</t>
        </is>
      </c>
      <c r="C22" s="2" t="n">
        <v>100</v>
      </c>
      <c r="D22" s="2">
        <f>IFERROR(INDEX(Dados!$A$2:$A$13,MATCH(TRUE,INDEX(Dados!$E$2:$E$13&gt;=C22,0),0)),"ainda não")</f>
        <v/>
      </c>
    </row>
    <row r="23">
      <c r="A23" s="2" t="inlineStr">
        <is>
          <t>MRR de R$ 50.000</t>
        </is>
      </c>
      <c r="B23" s="2" t="inlineStr">
        <is>
          <t>Receita (MRR)</t>
        </is>
      </c>
      <c r="C23" s="2" t="n">
        <v>50000</v>
      </c>
      <c r="D23" s="2">
        <f>IFERROR(INDEX(Dados!$A$2:$A$13,MATCH(TRUE,INDEX(Dados!$F$2:$F$13&gt;=C23,0),0)),"ainda não")</f>
        <v/>
      </c>
    </row>
    <row r="24">
      <c r="A24" s="2" t="inlineStr">
        <is>
          <t>Runway acima de 18 meses (sustentado)</t>
        </is>
      </c>
      <c r="B24" s="2" t="inlineStr">
        <is>
          <t>Runway</t>
        </is>
      </c>
      <c r="C24" s="2" t="n">
        <v>18</v>
      </c>
      <c r="D24" s="2">
        <f>IFERROR(INDEX(Métricas!$A$7:$A$18,MATCH(TRUE,INDEX(Métricas!$I$7:$I$18&gt;=C24,0),0)),"ainda não")</f>
        <v/>
      </c>
    </row>
    <row r="25">
      <c r="A25" s="2" t="inlineStr">
        <is>
          <t>Burn rate abaixo de R$ 3.000/mês (quase break-even)</t>
        </is>
      </c>
      <c r="B25" s="2" t="inlineStr">
        <is>
          <t>Burn Rate</t>
        </is>
      </c>
      <c r="C25" s="2" t="n">
        <v>3000</v>
      </c>
      <c r="D25" s="2">
        <f>IFERROR(INDEX(Dados!$A$2:$A$13,MATCH(TRUE,INDEX(Dados!$I$2:$I$13&lt;=C25,0),0)),"ainda não")</f>
        <v/>
      </c>
    </row>
    <row r="27">
      <c r="A27" s="5" t="inlineStr">
        <is>
          <t>Como usar esta aba:</t>
        </is>
      </c>
    </row>
    <row r="28">
      <c r="A28" s="4" t="inlineStr">
        <is>
          <t>• Inflection Point = a taxa de crescimento (não a receita) volta a acelerar depois de estar estagnada/caindo — olhe a coluna "Aceleração do Crescimento".</t>
        </is>
      </c>
    </row>
    <row r="29">
      <c r="A29" s="4" t="inlineStr">
        <is>
          <t>• Tipping Point = o canal orgânico/indicação passa a puxar a maior parte dos novos clientes (aqui, ≥30% — ajuste em Métricas!B3) — sinal de que a adoção passou a se autoalimentar.</t>
        </is>
      </c>
    </row>
    <row r="30">
      <c r="A30" s="4" t="inlineStr">
        <is>
          <t>• Turning Point = qualquer métrica que estava piorando reverte de direção; o exemplo aqui é o churn, mas o mesmo padrão (pico seguido de queda) vale para CAC, burn rate etc.</t>
        </is>
      </c>
    </row>
    <row r="31">
      <c r="A31" s="4" t="inlineStr">
        <is>
          <t>• Milestone = uma meta pré-definida, batida ou não — não exige reversão de tendência, só comparação com um alvo (tabela acima).</t>
        </is>
      </c>
    </row>
    <row r="32">
      <c r="A32" s="4" t="inlineStr">
        <is>
          <t>• Catalyst = não é calculado a partir de números; é o evento real (campanha, parceria, lançamento de feature, imprensa) que você registra manualmente e depois cruza com os sinais acima para entender o que causou a virada.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2026-07-05T11:39:24Z</dcterms:created>
  <dcterms:modified xsi:type="dcterms:W3CDTF">2026-07-05T11:39:24Z</dcterms:modified>
</cp:coreProperties>
</file>